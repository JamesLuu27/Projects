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 Luu\Desktop\"/>
    </mc:Choice>
  </mc:AlternateContent>
  <xr:revisionPtr revIDLastSave="0" documentId="13_ncr:1_{BFD40FF5-942C-4547-8841-64172B1A62DD}" xr6:coauthVersionLast="45" xr6:coauthVersionMax="45" xr10:uidLastSave="{00000000-0000-0000-0000-000000000000}"/>
  <bookViews>
    <workbookView xWindow="120" yWindow="0" windowWidth="17310" windowHeight="15600" firstSheet="5" activeTab="10" xr2:uid="{00000000-000D-0000-FFFF-FFFF00000000}"/>
  </bookViews>
  <sheets>
    <sheet name="Weekday" sheetId="1" r:id="rId1"/>
    <sheet name="count &gt;100" sheetId="2" r:id="rId2"/>
    <sheet name="Duplicate" sheetId="3" r:id="rId3"/>
    <sheet name="AverageIf" sheetId="4" r:id="rId4"/>
    <sheet name="Large" sheetId="5" r:id="rId5"/>
    <sheet name="Hide Dup" sheetId="6" r:id="rId6"/>
    <sheet name="Data Bar" sheetId="7" r:id="rId7"/>
    <sheet name="Highlight" sheetId="8" r:id="rId8"/>
    <sheet name="Userform1" sheetId="10" r:id="rId9"/>
    <sheet name="Database" sheetId="11" r:id="rId10"/>
    <sheet name="Userform2" sheetId="12" r:id="rId11"/>
    <sheet name="Carabase" sheetId="1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5" l="1"/>
  <c r="C21" i="4"/>
  <c r="C20" i="4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3" i="3" a="1"/>
  <c r="D3" i="3" s="1"/>
  <c r="C4" i="3"/>
  <c r="C5" i="3"/>
  <c r="C6" i="3"/>
  <c r="C7" i="3"/>
  <c r="C8" i="3"/>
  <c r="C9" i="3"/>
  <c r="C10" i="3"/>
  <c r="C11" i="3"/>
  <c r="C3" i="3"/>
  <c r="F6" i="2"/>
  <c r="E5" i="1"/>
  <c r="E6" i="1"/>
  <c r="E7" i="1"/>
  <c r="E8" i="1"/>
  <c r="E9" i="1"/>
  <c r="E10" i="1"/>
  <c r="E11" i="1"/>
  <c r="E12" i="1"/>
  <c r="E13" i="1"/>
  <c r="E4" i="1"/>
  <c r="D5" i="1"/>
  <c r="D6" i="1"/>
  <c r="D7" i="1"/>
  <c r="D8" i="1"/>
  <c r="D9" i="1"/>
  <c r="D10" i="1"/>
  <c r="D11" i="1"/>
  <c r="D12" i="1"/>
  <c r="D13" i="1"/>
  <c r="D4" i="1"/>
  <c r="E13" i="8" l="1"/>
  <c r="E12" i="8"/>
  <c r="E11" i="8"/>
  <c r="E10" i="8"/>
  <c r="E9" i="8"/>
  <c r="E8" i="8"/>
  <c r="E7" i="8"/>
  <c r="E6" i="8"/>
  <c r="E5" i="8"/>
  <c r="E4" i="8"/>
  <c r="E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<sst xmlns="http://schemas.openxmlformats.org/spreadsheetml/2006/main" count="174" uniqueCount="106">
  <si>
    <t>Weekday</t>
  </si>
  <si>
    <t>2nd argument</t>
  </si>
  <si>
    <t>Name</t>
  </si>
  <si>
    <t>Salary</t>
  </si>
  <si>
    <t>Jim</t>
  </si>
  <si>
    <t>Sarah</t>
  </si>
  <si>
    <t>Jane</t>
  </si>
  <si>
    <t>Steve</t>
  </si>
  <si>
    <t>Joan</t>
  </si>
  <si>
    <t>Count</t>
  </si>
  <si>
    <t>Code</t>
  </si>
  <si>
    <t>Dup COUNTIF</t>
  </si>
  <si>
    <t>Dup SUMPRODUCT</t>
  </si>
  <si>
    <t>054645</t>
  </si>
  <si>
    <t>002345</t>
  </si>
  <si>
    <t>0002345</t>
  </si>
  <si>
    <t>Pencil</t>
  </si>
  <si>
    <t>Binder</t>
  </si>
  <si>
    <t>Pen</t>
  </si>
  <si>
    <t>Desk</t>
  </si>
  <si>
    <t>Pen Set</t>
  </si>
  <si>
    <t>Item</t>
  </si>
  <si>
    <t>Sales</t>
  </si>
  <si>
    <t>Average</t>
  </si>
  <si>
    <t>Large</t>
  </si>
  <si>
    <t>Start Date</t>
  </si>
  <si>
    <t>Workday</t>
  </si>
  <si>
    <t>Target Days</t>
  </si>
  <si>
    <t>Holiday</t>
  </si>
  <si>
    <t>Average IF</t>
  </si>
  <si>
    <t>Sales Person</t>
  </si>
  <si>
    <t>Territory</t>
  </si>
  <si>
    <t>Lacy</t>
  </si>
  <si>
    <t>Northeast</t>
  </si>
  <si>
    <t>Gerard</t>
  </si>
  <si>
    <t>Central</t>
  </si>
  <si>
    <t>Tony</t>
  </si>
  <si>
    <t>Jennifer</t>
  </si>
  <si>
    <t>Frank</t>
  </si>
  <si>
    <t>Southeast</t>
  </si>
  <si>
    <t>Wesley</t>
  </si>
  <si>
    <t>James</t>
  </si>
  <si>
    <t>Patrick</t>
  </si>
  <si>
    <t>Diane</t>
  </si>
  <si>
    <t>West</t>
  </si>
  <si>
    <t>Clark</t>
  </si>
  <si>
    <t>Sub-Category</t>
  </si>
  <si>
    <t>Bookcases</t>
  </si>
  <si>
    <t>Chairs</t>
  </si>
  <si>
    <t>Labels</t>
  </si>
  <si>
    <t>Tables</t>
  </si>
  <si>
    <t>Storage</t>
  </si>
  <si>
    <t>Furnishings</t>
  </si>
  <si>
    <t>Art</t>
  </si>
  <si>
    <t>Phones</t>
  </si>
  <si>
    <t>Binders</t>
  </si>
  <si>
    <t>Appliances</t>
  </si>
  <si>
    <t>Paper</t>
  </si>
  <si>
    <t>Department</t>
  </si>
  <si>
    <t>Actual</t>
  </si>
  <si>
    <t>Forecast</t>
  </si>
  <si>
    <t>Variance</t>
  </si>
  <si>
    <t>Corporate</t>
  </si>
  <si>
    <t>Accounting</t>
  </si>
  <si>
    <t>HR</t>
  </si>
  <si>
    <t>Operations</t>
  </si>
  <si>
    <t>Research</t>
  </si>
  <si>
    <t>Manufacturing</t>
  </si>
  <si>
    <t>Marketing</t>
  </si>
  <si>
    <t>Logistics</t>
  </si>
  <si>
    <t>IT</t>
  </si>
  <si>
    <t>Warehouse</t>
  </si>
  <si>
    <t>First Name</t>
  </si>
  <si>
    <t>Last Name</t>
  </si>
  <si>
    <t>Email</t>
  </si>
  <si>
    <t>Street</t>
  </si>
  <si>
    <t>City</t>
  </si>
  <si>
    <t>Country</t>
  </si>
  <si>
    <t>Luu</t>
  </si>
  <si>
    <t>Fake Country</t>
  </si>
  <si>
    <t>Phone Number</t>
  </si>
  <si>
    <t>City Preference</t>
  </si>
  <si>
    <t>Dinner Preference</t>
  </si>
  <si>
    <t>Date</t>
  </si>
  <si>
    <t>Do you have a car?</t>
  </si>
  <si>
    <t>Yes</t>
  </si>
  <si>
    <t>123 FakeStreet</t>
  </si>
  <si>
    <t>Jomar Lantin</t>
  </si>
  <si>
    <t>No</t>
  </si>
  <si>
    <t xml:space="preserve">James </t>
  </si>
  <si>
    <t>FakeEmail@yahoo.com</t>
  </si>
  <si>
    <t>Training</t>
  </si>
  <si>
    <t>City Lane</t>
  </si>
  <si>
    <t>James Luu</t>
  </si>
  <si>
    <t>Long Beach</t>
  </si>
  <si>
    <t>Chinese</t>
  </si>
  <si>
    <t>Irvine</t>
  </si>
  <si>
    <t>Indian</t>
  </si>
  <si>
    <t>Jacky</t>
  </si>
  <si>
    <t>Ly</t>
  </si>
  <si>
    <t>Jackyly@email.com</t>
  </si>
  <si>
    <t>Jacky City</t>
  </si>
  <si>
    <t>City City</t>
  </si>
  <si>
    <t>Joeseph Joestar</t>
  </si>
  <si>
    <t>Fountain Valley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</si>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</sst>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 Narrow"/>
      <family val="2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3" borderId="1" xfId="0" applyFont="1" applyFill="1" applyBorder="1"/>
    <xf numFmtId="0" fontId="4" fillId="5" borderId="1" xfId="0" applyFont="1" applyFill="1" applyBorder="1"/>
    <xf numFmtId="49" fontId="4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left" vertical="center"/>
    </xf>
    <xf numFmtId="43" fontId="5" fillId="0" borderId="1" xfId="1" applyFont="1" applyBorder="1" applyAlignment="1">
      <alignment vertical="center"/>
    </xf>
    <xf numFmtId="0" fontId="5" fillId="6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right"/>
    </xf>
    <xf numFmtId="0" fontId="0" fillId="5" borderId="1" xfId="0" applyFill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center"/>
    </xf>
    <xf numFmtId="14" fontId="0" fillId="0" borderId="1" xfId="0" applyNumberFormat="1" applyBorder="1"/>
    <xf numFmtId="0" fontId="0" fillId="3" borderId="2" xfId="0" applyFill="1" applyBorder="1"/>
    <xf numFmtId="14" fontId="0" fillId="5" borderId="1" xfId="0" applyNumberFormat="1" applyFill="1" applyBorder="1" applyAlignment="1">
      <alignment horizontal="center"/>
    </xf>
    <xf numFmtId="164" fontId="0" fillId="0" borderId="1" xfId="2" applyNumberFormat="1" applyFont="1" applyBorder="1"/>
    <xf numFmtId="0" fontId="6" fillId="7" borderId="1" xfId="0" applyFont="1" applyFill="1" applyBorder="1"/>
    <xf numFmtId="0" fontId="7" fillId="7" borderId="1" xfId="0" applyFont="1" applyFill="1" applyBorder="1"/>
    <xf numFmtId="165" fontId="0" fillId="0" borderId="1" xfId="0" applyNumberFormat="1" applyBorder="1"/>
    <xf numFmtId="10" fontId="0" fillId="0" borderId="1" xfId="0" applyNumberFormat="1" applyBorder="1"/>
    <xf numFmtId="0" fontId="8" fillId="7" borderId="1" xfId="0" applyFont="1" applyFill="1" applyBorder="1" applyAlignment="1">
      <alignment horizontal="center"/>
    </xf>
    <xf numFmtId="14" fontId="8" fillId="7" borderId="1" xfId="0" applyNumberFormat="1" applyFont="1" applyFill="1" applyBorder="1" applyAlignment="1">
      <alignment horizontal="center"/>
    </xf>
    <xf numFmtId="43" fontId="0" fillId="5" borderId="1" xfId="0" applyNumberFormat="1" applyFill="1" applyBorder="1"/>
    <xf numFmtId="0" fontId="0" fillId="7" borderId="1" xfId="0" applyFill="1" applyBorder="1"/>
    <xf numFmtId="0" fontId="0" fillId="0" borderId="0" xfId="0" applyAlignment="1">
      <alignment wrapText="1"/>
    </xf>
    <xf numFmtId="0" fontId="9" fillId="8" borderId="1" xfId="0" applyFont="1" applyFill="1" applyBorder="1"/>
  </cellXfs>
  <cellStyles count="3">
    <cellStyle name="Comma" xfId="1" builtinId="3"/>
    <cellStyle name="Currency" xfId="2" builtinId="4"/>
    <cellStyle name="Normal" xfId="0" builtinId="0"/>
  </cellStyles>
  <dxfs count="5">
    <dxf>
      <font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4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13</xdr:row>
      <xdr:rowOff>28575</xdr:rowOff>
    </xdr:from>
    <xdr:to>
      <xdr:col>13</xdr:col>
      <xdr:colOff>180975</xdr:colOff>
      <xdr:row>18</xdr:row>
      <xdr:rowOff>19050</xdr:rowOff>
    </xdr:to>
    <xdr:sp macro="[0]!Module1.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AD60FB-6950-47D9-A537-12174C718DCD}"/>
            </a:ext>
          </a:extLst>
        </xdr:cNvPr>
        <xdr:cNvSpPr/>
      </xdr:nvSpPr>
      <xdr:spPr>
        <a:xfrm>
          <a:off x="3124200" y="2505075"/>
          <a:ext cx="4981575" cy="9429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/>
            <a:t>Launch Form</a:t>
          </a:r>
        </a:p>
      </xdr:txBody>
    </xdr:sp>
    <xdr:clientData/>
  </xdr:twoCellAnchor>
  <xdr:twoCellAnchor>
    <xdr:from>
      <xdr:col>5</xdr:col>
      <xdr:colOff>104775</xdr:colOff>
      <xdr:row>5</xdr:row>
      <xdr:rowOff>123825</xdr:rowOff>
    </xdr:from>
    <xdr:to>
      <xdr:col>12</xdr:col>
      <xdr:colOff>400050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1C6C770-A9FE-4F19-AC31-D059990ABB7B}"/>
            </a:ext>
          </a:extLst>
        </xdr:cNvPr>
        <xdr:cNvSpPr txBox="1"/>
      </xdr:nvSpPr>
      <xdr:spPr>
        <a:xfrm>
          <a:off x="3152775" y="1076325"/>
          <a:ext cx="4562475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ON LAUNCH FORM TO ACTIVATE MY USERFORM TO INPUT</a:t>
          </a:r>
          <a:r>
            <a:rPr lang="en-US" sz="1100" baseline="0"/>
            <a:t> NAMES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9</xdr:row>
      <xdr:rowOff>133351</xdr:rowOff>
    </xdr:from>
    <xdr:to>
      <xdr:col>13</xdr:col>
      <xdr:colOff>295275</xdr:colOff>
      <xdr:row>15</xdr:row>
      <xdr:rowOff>76201</xdr:rowOff>
    </xdr:to>
    <xdr:sp macro="[0]!Show_Form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199FCA-45EE-4C24-8D9A-1A028B2B88F7}"/>
            </a:ext>
          </a:extLst>
        </xdr:cNvPr>
        <xdr:cNvSpPr/>
      </xdr:nvSpPr>
      <xdr:spPr>
        <a:xfrm>
          <a:off x="3981450" y="1847851"/>
          <a:ext cx="4238625" cy="10858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23"/>
  <sheetViews>
    <sheetView showGridLines="0" workbookViewId="0">
      <selection activeCell="D4" sqref="D4"/>
    </sheetView>
  </sheetViews>
  <sheetFormatPr defaultRowHeight="15" x14ac:dyDescent="0.25"/>
  <cols>
    <col min="2" max="2" width="14.42578125" customWidth="1"/>
    <col min="3" max="3" width="14.28515625" customWidth="1"/>
    <col min="4" max="4" width="12.7109375" customWidth="1"/>
    <col min="5" max="5" width="11.7109375" customWidth="1"/>
    <col min="6" max="6" width="9.7109375" bestFit="1" customWidth="1"/>
  </cols>
  <sheetData>
    <row r="3" spans="2:5" x14ac:dyDescent="0.25">
      <c r="B3" s="1" t="s">
        <v>25</v>
      </c>
      <c r="C3" s="2" t="s">
        <v>1</v>
      </c>
      <c r="D3" s="2" t="s">
        <v>0</v>
      </c>
      <c r="E3" s="2" t="s">
        <v>26</v>
      </c>
    </row>
    <row r="4" spans="2:5" x14ac:dyDescent="0.25">
      <c r="B4" s="16">
        <v>43622</v>
      </c>
      <c r="C4" s="3">
        <v>1</v>
      </c>
      <c r="D4" s="15">
        <f>WEEKDAY(B4,C4)</f>
        <v>5</v>
      </c>
      <c r="E4" s="20">
        <f>WORKDAY(B4,B17,C17:C23)</f>
        <v>43735</v>
      </c>
    </row>
    <row r="5" spans="2:5" x14ac:dyDescent="0.25">
      <c r="B5" s="16">
        <v>43636</v>
      </c>
      <c r="C5" s="3">
        <v>2</v>
      </c>
      <c r="D5" s="15">
        <f t="shared" ref="D5:D13" si="0">WEEKDAY(B5,C5)</f>
        <v>4</v>
      </c>
      <c r="E5" s="20">
        <f t="shared" ref="E5:E13" si="1">WORKDAY(B5,B18,C18:C24)</f>
        <v>43636</v>
      </c>
    </row>
    <row r="6" spans="2:5" x14ac:dyDescent="0.25">
      <c r="B6" s="16">
        <v>43632</v>
      </c>
      <c r="C6" s="3">
        <v>3</v>
      </c>
      <c r="D6" s="15">
        <f t="shared" si="0"/>
        <v>6</v>
      </c>
      <c r="E6" s="20">
        <f t="shared" si="1"/>
        <v>43632</v>
      </c>
    </row>
    <row r="7" spans="2:5" x14ac:dyDescent="0.25">
      <c r="B7" s="16">
        <v>43686</v>
      </c>
      <c r="C7" s="3">
        <v>11</v>
      </c>
      <c r="D7" s="15">
        <f t="shared" si="0"/>
        <v>5</v>
      </c>
      <c r="E7" s="20">
        <f t="shared" si="1"/>
        <v>43686</v>
      </c>
    </row>
    <row r="8" spans="2:5" x14ac:dyDescent="0.25">
      <c r="B8" s="16">
        <v>43687</v>
      </c>
      <c r="C8" s="3">
        <v>12</v>
      </c>
      <c r="D8" s="15">
        <f t="shared" si="0"/>
        <v>5</v>
      </c>
      <c r="E8" s="20">
        <f t="shared" si="1"/>
        <v>43687</v>
      </c>
    </row>
    <row r="9" spans="2:5" x14ac:dyDescent="0.25">
      <c r="B9" s="16">
        <v>43596</v>
      </c>
      <c r="C9" s="3">
        <v>13</v>
      </c>
      <c r="D9" s="15">
        <f t="shared" si="0"/>
        <v>4</v>
      </c>
      <c r="E9" s="20">
        <f t="shared" si="1"/>
        <v>43596</v>
      </c>
    </row>
    <row r="10" spans="2:5" x14ac:dyDescent="0.25">
      <c r="B10" s="16">
        <v>43600</v>
      </c>
      <c r="C10" s="3">
        <v>14</v>
      </c>
      <c r="D10" s="15">
        <f t="shared" si="0"/>
        <v>7</v>
      </c>
      <c r="E10" s="20">
        <f t="shared" si="1"/>
        <v>43600</v>
      </c>
    </row>
    <row r="11" spans="2:5" x14ac:dyDescent="0.25">
      <c r="B11" s="16">
        <v>43598</v>
      </c>
      <c r="C11" s="3">
        <v>15</v>
      </c>
      <c r="D11" s="15">
        <f t="shared" si="0"/>
        <v>4</v>
      </c>
      <c r="E11" s="20">
        <f t="shared" si="1"/>
        <v>43598</v>
      </c>
    </row>
    <row r="12" spans="2:5" x14ac:dyDescent="0.25">
      <c r="B12" s="16">
        <v>43601</v>
      </c>
      <c r="C12" s="3">
        <v>16</v>
      </c>
      <c r="D12" s="15">
        <f t="shared" si="0"/>
        <v>6</v>
      </c>
      <c r="E12" s="20">
        <f t="shared" si="1"/>
        <v>43601</v>
      </c>
    </row>
    <row r="13" spans="2:5" x14ac:dyDescent="0.25">
      <c r="B13" s="16">
        <v>43661</v>
      </c>
      <c r="C13" s="3">
        <v>17</v>
      </c>
      <c r="D13" s="15">
        <f t="shared" si="0"/>
        <v>2</v>
      </c>
      <c r="E13" s="20">
        <f t="shared" si="1"/>
        <v>43661</v>
      </c>
    </row>
    <row r="16" spans="2:5" x14ac:dyDescent="0.25">
      <c r="B16" s="19" t="s">
        <v>27</v>
      </c>
      <c r="C16" s="5" t="s">
        <v>28</v>
      </c>
    </row>
    <row r="17" spans="2:3" x14ac:dyDescent="0.25">
      <c r="B17" s="17">
        <v>75</v>
      </c>
      <c r="C17" s="18">
        <v>43630</v>
      </c>
    </row>
    <row r="18" spans="2:3" x14ac:dyDescent="0.25">
      <c r="C18" s="18">
        <v>43643</v>
      </c>
    </row>
    <row r="19" spans="2:3" x14ac:dyDescent="0.25">
      <c r="C19" s="18">
        <v>43667</v>
      </c>
    </row>
    <row r="20" spans="2:3" x14ac:dyDescent="0.25">
      <c r="C20" s="18">
        <v>43675</v>
      </c>
    </row>
    <row r="21" spans="2:3" x14ac:dyDescent="0.25">
      <c r="C21" s="18">
        <v>43710</v>
      </c>
    </row>
    <row r="22" spans="2:3" x14ac:dyDescent="0.25">
      <c r="C22" s="18">
        <v>43721</v>
      </c>
    </row>
    <row r="23" spans="2:3" x14ac:dyDescent="0.25">
      <c r="C23" s="18">
        <v>43732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47E6B-DD9B-4070-BD82-94BE35FD3F5F}">
  <sheetPr codeName="Sheet2"/>
  <dimension ref="B2:F16"/>
  <sheetViews>
    <sheetView showGridLines="0" workbookViewId="0">
      <selection activeCell="F6" sqref="F6"/>
    </sheetView>
  </sheetViews>
  <sheetFormatPr defaultRowHeight="15" x14ac:dyDescent="0.25"/>
  <sheetData>
    <row r="2" spans="2:6" x14ac:dyDescent="0.25">
      <c r="B2" s="5" t="s">
        <v>2</v>
      </c>
      <c r="C2" s="5" t="s">
        <v>3</v>
      </c>
    </row>
    <row r="3" spans="2:6" x14ac:dyDescent="0.25">
      <c r="B3" s="4" t="s">
        <v>4</v>
      </c>
      <c r="C3" s="4">
        <v>105</v>
      </c>
    </row>
    <row r="4" spans="2:6" x14ac:dyDescent="0.25">
      <c r="B4" s="4" t="s">
        <v>5</v>
      </c>
      <c r="C4" s="4">
        <v>125</v>
      </c>
    </row>
    <row r="5" spans="2:6" x14ac:dyDescent="0.25">
      <c r="B5" s="4" t="s">
        <v>6</v>
      </c>
      <c r="C5" s="4">
        <v>200</v>
      </c>
    </row>
    <row r="6" spans="2:6" x14ac:dyDescent="0.25">
      <c r="B6" s="4" t="s">
        <v>7</v>
      </c>
      <c r="C6" s="4">
        <v>50</v>
      </c>
      <c r="E6" s="6" t="s">
        <v>9</v>
      </c>
      <c r="F6" s="7">
        <f>COUNTIF(C3:C16,"&gt;100")</f>
        <v>8</v>
      </c>
    </row>
    <row r="7" spans="2:6" x14ac:dyDescent="0.25">
      <c r="B7" s="4" t="s">
        <v>4</v>
      </c>
      <c r="C7" s="4">
        <v>75</v>
      </c>
    </row>
    <row r="8" spans="2:6" x14ac:dyDescent="0.25">
      <c r="B8" s="4" t="s">
        <v>8</v>
      </c>
      <c r="C8" s="4">
        <v>130</v>
      </c>
    </row>
    <row r="9" spans="2:6" x14ac:dyDescent="0.25">
      <c r="B9" s="4" t="s">
        <v>6</v>
      </c>
      <c r="C9" s="4">
        <v>210</v>
      </c>
    </row>
    <row r="10" spans="2:6" x14ac:dyDescent="0.25">
      <c r="B10" s="4" t="s">
        <v>4</v>
      </c>
      <c r="C10" s="4">
        <v>220</v>
      </c>
    </row>
    <row r="11" spans="2:6" x14ac:dyDescent="0.25">
      <c r="B11" s="4" t="s">
        <v>8</v>
      </c>
      <c r="C11" s="4">
        <v>90</v>
      </c>
    </row>
    <row r="12" spans="2:6" x14ac:dyDescent="0.25">
      <c r="B12" s="4" t="s">
        <v>4</v>
      </c>
      <c r="C12" s="4">
        <v>90</v>
      </c>
    </row>
    <row r="13" spans="2:6" x14ac:dyDescent="0.25">
      <c r="B13" s="4" t="s">
        <v>7</v>
      </c>
      <c r="C13" s="4">
        <v>160</v>
      </c>
    </row>
    <row r="14" spans="2:6" x14ac:dyDescent="0.25">
      <c r="B14" s="4" t="s">
        <v>6</v>
      </c>
      <c r="C14" s="4">
        <v>70</v>
      </c>
    </row>
    <row r="15" spans="2:6" x14ac:dyDescent="0.25">
      <c r="B15" s="4" t="s">
        <v>4</v>
      </c>
      <c r="C15" s="4">
        <v>120</v>
      </c>
    </row>
    <row r="16" spans="2:6" x14ac:dyDescent="0.25">
      <c r="B16" s="4" t="s">
        <v>5</v>
      </c>
      <c r="C16" s="4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D5C4-D79B-4366-B353-F587953D3999}">
  <sheetPr codeName="Sheet3"/>
  <dimension ref="B2:D11"/>
  <sheetViews>
    <sheetView showGridLines="0" workbookViewId="0">
      <selection activeCell="D6" sqref="D6"/>
    </sheetView>
  </sheetViews>
  <sheetFormatPr defaultRowHeight="15" x14ac:dyDescent="0.25"/>
  <cols>
    <col min="2" max="2" width="10.5703125" bestFit="1" customWidth="1"/>
    <col min="3" max="3" width="13.140625" bestFit="1" customWidth="1"/>
    <col min="4" max="4" width="18.140625" bestFit="1" customWidth="1"/>
  </cols>
  <sheetData>
    <row r="2" spans="2:4" x14ac:dyDescent="0.25">
      <c r="B2" s="8" t="s">
        <v>10</v>
      </c>
      <c r="C2" s="8" t="s">
        <v>11</v>
      </c>
      <c r="D2" s="8" t="s">
        <v>12</v>
      </c>
    </row>
    <row r="3" spans="2:4" ht="15.75" x14ac:dyDescent="0.25">
      <c r="B3" s="14">
        <v>54645</v>
      </c>
      <c r="C3" s="9" t="b">
        <f>COUNTIF($B$3:$B$11,B3)&gt;1</f>
        <v>1</v>
      </c>
      <c r="D3" s="9" t="b" cm="1">
        <f t="array" ref="D3">SUMPRODUCT(--($B$3:$B$11=3))&gt;1</f>
        <v>0</v>
      </c>
    </row>
    <row r="4" spans="2:4" ht="15.75" x14ac:dyDescent="0.25">
      <c r="B4" s="10" t="s">
        <v>13</v>
      </c>
      <c r="C4" s="9" t="b">
        <f t="shared" ref="C4:C11" si="0">COUNTIF($B$3:$B$11,B4)&gt;1</f>
        <v>1</v>
      </c>
      <c r="D4" s="9" t="b" cm="1">
        <f t="array" ref="D4">SUMPRODUCT(--($B$3:$B$11=3))&gt;1</f>
        <v>0</v>
      </c>
    </row>
    <row r="5" spans="2:4" ht="15.75" x14ac:dyDescent="0.25">
      <c r="B5" s="14">
        <v>523443</v>
      </c>
      <c r="C5" s="9" t="b">
        <f t="shared" si="0"/>
        <v>0</v>
      </c>
      <c r="D5" s="9" t="b" cm="1">
        <f t="array" ref="D5">SUMPRODUCT(--($B$3:$B$11=3))&gt;1</f>
        <v>0</v>
      </c>
    </row>
    <row r="6" spans="2:4" ht="15.75" x14ac:dyDescent="0.25">
      <c r="B6" s="14" t="s">
        <v>13</v>
      </c>
      <c r="C6" s="9" t="b">
        <f t="shared" si="0"/>
        <v>1</v>
      </c>
      <c r="D6" s="9" t="b" cm="1">
        <f t="array" ref="D6">SUMPRODUCT(--($B$3:$B$11=3))&gt;1</f>
        <v>0</v>
      </c>
    </row>
    <row r="7" spans="2:4" ht="15.75" x14ac:dyDescent="0.25">
      <c r="B7" s="14" t="s">
        <v>14</v>
      </c>
      <c r="C7" s="9" t="b">
        <f t="shared" si="0"/>
        <v>1</v>
      </c>
      <c r="D7" s="9" t="b" cm="1">
        <f t="array" ref="D7">SUMPRODUCT(--($B$3:$B$11=3))&gt;1</f>
        <v>0</v>
      </c>
    </row>
    <row r="8" spans="2:4" ht="15.75" x14ac:dyDescent="0.25">
      <c r="B8" s="14">
        <v>563765</v>
      </c>
      <c r="C8" s="9" t="b">
        <f t="shared" si="0"/>
        <v>1</v>
      </c>
      <c r="D8" s="9" t="b" cm="1">
        <f t="array" ref="D8">SUMPRODUCT(--($B$3:$B$11=3))&gt;1</f>
        <v>0</v>
      </c>
    </row>
    <row r="9" spans="2:4" ht="15.75" x14ac:dyDescent="0.25">
      <c r="B9" s="14">
        <v>4236345</v>
      </c>
      <c r="C9" s="9" t="b">
        <f t="shared" si="0"/>
        <v>0</v>
      </c>
      <c r="D9" s="9" t="b" cm="1">
        <f t="array" ref="D9">SUMPRODUCT(--($B$3:$B$11=3))&gt;1</f>
        <v>0</v>
      </c>
    </row>
    <row r="10" spans="2:4" ht="15.75" x14ac:dyDescent="0.25">
      <c r="B10" s="14" t="s">
        <v>15</v>
      </c>
      <c r="C10" s="9" t="b">
        <f t="shared" si="0"/>
        <v>1</v>
      </c>
      <c r="D10" s="9" t="b" cm="1">
        <f t="array" ref="D10">SUMPRODUCT(--($B$3:$B$11=3))&gt;1</f>
        <v>0</v>
      </c>
    </row>
    <row r="11" spans="2:4" ht="15.75" x14ac:dyDescent="0.25">
      <c r="B11" s="14">
        <v>563765</v>
      </c>
      <c r="C11" s="9" t="b">
        <f t="shared" si="0"/>
        <v>1</v>
      </c>
      <c r="D11" s="9" t="b" cm="1">
        <f t="array" ref="D11">SUMPRODUCT(--($B$3:$B$11=3))&gt;1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9C71E-2167-45A0-B60C-57405EFAC96D}">
  <sheetPr codeName="Sheet4"/>
  <dimension ref="B2:C21"/>
  <sheetViews>
    <sheetView workbookViewId="0">
      <selection activeCell="C21" sqref="C21"/>
    </sheetView>
  </sheetViews>
  <sheetFormatPr defaultRowHeight="15" x14ac:dyDescent="0.25"/>
  <cols>
    <col min="2" max="2" width="10.28515625" bestFit="1" customWidth="1"/>
    <col min="3" max="3" width="9.5703125" bestFit="1" customWidth="1"/>
  </cols>
  <sheetData>
    <row r="2" spans="2:3" x14ac:dyDescent="0.25">
      <c r="B2" s="5" t="s">
        <v>21</v>
      </c>
      <c r="C2" s="5" t="s">
        <v>22</v>
      </c>
    </row>
    <row r="3" spans="2:3" x14ac:dyDescent="0.25">
      <c r="B3" s="11" t="s">
        <v>16</v>
      </c>
      <c r="C3" s="12">
        <v>189.05</v>
      </c>
    </row>
    <row r="4" spans="2:3" x14ac:dyDescent="0.25">
      <c r="B4" s="11" t="s">
        <v>17</v>
      </c>
      <c r="C4" s="12">
        <v>999.49999999999989</v>
      </c>
    </row>
    <row r="5" spans="2:3" x14ac:dyDescent="0.25">
      <c r="B5" s="11" t="s">
        <v>16</v>
      </c>
      <c r="C5" s="12">
        <v>179.64000000000001</v>
      </c>
    </row>
    <row r="6" spans="2:3" x14ac:dyDescent="0.25">
      <c r="B6" s="11" t="s">
        <v>18</v>
      </c>
      <c r="C6" s="12">
        <v>539.7299999999999</v>
      </c>
    </row>
    <row r="7" spans="2:3" x14ac:dyDescent="0.25">
      <c r="B7" s="11" t="s">
        <v>16</v>
      </c>
      <c r="C7" s="12">
        <v>167.44</v>
      </c>
    </row>
    <row r="8" spans="2:3" x14ac:dyDescent="0.25">
      <c r="B8" s="11" t="s">
        <v>17</v>
      </c>
      <c r="C8" s="12">
        <v>299.40000000000003</v>
      </c>
    </row>
    <row r="9" spans="2:3" x14ac:dyDescent="0.25">
      <c r="B9" s="11" t="s">
        <v>16</v>
      </c>
      <c r="C9" s="12">
        <v>149.25</v>
      </c>
    </row>
    <row r="10" spans="2:3" x14ac:dyDescent="0.25">
      <c r="B10" s="11" t="s">
        <v>16</v>
      </c>
      <c r="C10" s="12">
        <v>449.1</v>
      </c>
    </row>
    <row r="11" spans="2:3" x14ac:dyDescent="0.25">
      <c r="B11" s="11" t="s">
        <v>16</v>
      </c>
      <c r="C11" s="12">
        <v>63.68</v>
      </c>
    </row>
    <row r="12" spans="2:3" x14ac:dyDescent="0.25">
      <c r="B12" s="11" t="s">
        <v>17</v>
      </c>
      <c r="C12" s="12">
        <v>539.4</v>
      </c>
    </row>
    <row r="13" spans="2:3" x14ac:dyDescent="0.25">
      <c r="B13" s="11" t="s">
        <v>16</v>
      </c>
      <c r="C13" s="12">
        <v>449.1</v>
      </c>
    </row>
    <row r="14" spans="2:3" x14ac:dyDescent="0.25">
      <c r="B14" s="11" t="s">
        <v>17</v>
      </c>
      <c r="C14" s="12">
        <v>57.71</v>
      </c>
    </row>
    <row r="15" spans="2:3" x14ac:dyDescent="0.25">
      <c r="B15" s="11" t="s">
        <v>17</v>
      </c>
      <c r="C15" s="12">
        <v>1619.1899999999998</v>
      </c>
    </row>
    <row r="16" spans="2:3" x14ac:dyDescent="0.25">
      <c r="B16" s="11" t="s">
        <v>16</v>
      </c>
      <c r="C16" s="12">
        <v>174.65</v>
      </c>
    </row>
    <row r="17" spans="2:3" x14ac:dyDescent="0.25">
      <c r="B17" s="11" t="s">
        <v>19</v>
      </c>
      <c r="C17" s="12">
        <v>250</v>
      </c>
    </row>
    <row r="18" spans="2:3" x14ac:dyDescent="0.25">
      <c r="B18" s="11" t="s">
        <v>20</v>
      </c>
      <c r="C18" s="12">
        <v>255.84</v>
      </c>
    </row>
    <row r="20" spans="2:3" x14ac:dyDescent="0.25">
      <c r="B20" s="13" t="s">
        <v>23</v>
      </c>
      <c r="C20" s="28">
        <f>AVERAGE(C3:C18)</f>
        <v>398.91749999999996</v>
      </c>
    </row>
    <row r="21" spans="2:3" x14ac:dyDescent="0.25">
      <c r="B21" s="13" t="s">
        <v>29</v>
      </c>
      <c r="C21" s="7">
        <f>AVERAGEIF(C3:C18,"&gt;100")</f>
        <v>447.23500000000001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7F955-70C0-4662-A40C-BCAB9B9A8BD4}">
  <sheetPr codeName="Sheet5"/>
  <dimension ref="B2:C20"/>
  <sheetViews>
    <sheetView workbookViewId="0">
      <selection activeCell="C20" sqref="C20"/>
    </sheetView>
  </sheetViews>
  <sheetFormatPr defaultRowHeight="15" x14ac:dyDescent="0.25"/>
  <cols>
    <col min="3" max="3" width="9.5703125" bestFit="1" customWidth="1"/>
  </cols>
  <sheetData>
    <row r="2" spans="2:3" x14ac:dyDescent="0.25">
      <c r="B2" s="5" t="s">
        <v>21</v>
      </c>
      <c r="C2" s="5" t="s">
        <v>22</v>
      </c>
    </row>
    <row r="3" spans="2:3" x14ac:dyDescent="0.25">
      <c r="B3" s="11" t="s">
        <v>16</v>
      </c>
      <c r="C3" s="12">
        <v>189.05</v>
      </c>
    </row>
    <row r="4" spans="2:3" x14ac:dyDescent="0.25">
      <c r="B4" s="11" t="s">
        <v>17</v>
      </c>
      <c r="C4" s="12">
        <v>999.49999999999989</v>
      </c>
    </row>
    <row r="5" spans="2:3" x14ac:dyDescent="0.25">
      <c r="B5" s="11" t="s">
        <v>16</v>
      </c>
      <c r="C5" s="12">
        <v>179.64000000000001</v>
      </c>
    </row>
    <row r="6" spans="2:3" x14ac:dyDescent="0.25">
      <c r="B6" s="11" t="s">
        <v>18</v>
      </c>
      <c r="C6" s="12">
        <v>539.7299999999999</v>
      </c>
    </row>
    <row r="7" spans="2:3" x14ac:dyDescent="0.25">
      <c r="B7" s="11" t="s">
        <v>16</v>
      </c>
      <c r="C7" s="12">
        <v>167.44</v>
      </c>
    </row>
    <row r="8" spans="2:3" x14ac:dyDescent="0.25">
      <c r="B8" s="11" t="s">
        <v>17</v>
      </c>
      <c r="C8" s="12">
        <v>299.40000000000003</v>
      </c>
    </row>
    <row r="9" spans="2:3" x14ac:dyDescent="0.25">
      <c r="B9" s="11" t="s">
        <v>16</v>
      </c>
      <c r="C9" s="12">
        <v>149.25</v>
      </c>
    </row>
    <row r="10" spans="2:3" x14ac:dyDescent="0.25">
      <c r="B10" s="11" t="s">
        <v>16</v>
      </c>
      <c r="C10" s="12">
        <v>449.1</v>
      </c>
    </row>
    <row r="11" spans="2:3" x14ac:dyDescent="0.25">
      <c r="B11" s="11" t="s">
        <v>16</v>
      </c>
      <c r="C11" s="12">
        <v>63.68</v>
      </c>
    </row>
    <row r="12" spans="2:3" x14ac:dyDescent="0.25">
      <c r="B12" s="11" t="s">
        <v>17</v>
      </c>
      <c r="C12" s="12">
        <v>539.4</v>
      </c>
    </row>
    <row r="13" spans="2:3" x14ac:dyDescent="0.25">
      <c r="B13" s="11" t="s">
        <v>16</v>
      </c>
      <c r="C13" s="12">
        <v>449.1</v>
      </c>
    </row>
    <row r="14" spans="2:3" x14ac:dyDescent="0.25">
      <c r="B14" s="11" t="s">
        <v>17</v>
      </c>
      <c r="C14" s="12">
        <v>57.71</v>
      </c>
    </row>
    <row r="15" spans="2:3" x14ac:dyDescent="0.25">
      <c r="B15" s="11" t="s">
        <v>17</v>
      </c>
      <c r="C15" s="12">
        <v>1619.1899999999998</v>
      </c>
    </row>
    <row r="16" spans="2:3" x14ac:dyDescent="0.25">
      <c r="B16" s="11" t="s">
        <v>16</v>
      </c>
      <c r="C16" s="12">
        <v>174.65</v>
      </c>
    </row>
    <row r="17" spans="2:3" x14ac:dyDescent="0.25">
      <c r="B17" s="11" t="s">
        <v>19</v>
      </c>
      <c r="C17" s="12">
        <v>250</v>
      </c>
    </row>
    <row r="18" spans="2:3" x14ac:dyDescent="0.25">
      <c r="B18" s="11" t="s">
        <v>20</v>
      </c>
      <c r="C18" s="12">
        <v>255.84</v>
      </c>
    </row>
    <row r="20" spans="2:3" x14ac:dyDescent="0.25">
      <c r="B20" s="13" t="s">
        <v>24</v>
      </c>
      <c r="C20" s="7">
        <f>LARGE(C3:C18,5)</f>
        <v>449.1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9059A-514B-4A6D-87BF-81AAE3A11B7A}">
  <sheetPr codeName="Sheet6"/>
  <dimension ref="B2:D17"/>
  <sheetViews>
    <sheetView showGridLines="0" workbookViewId="0">
      <selection activeCell="C3" sqref="C3"/>
    </sheetView>
  </sheetViews>
  <sheetFormatPr defaultRowHeight="15" x14ac:dyDescent="0.25"/>
  <cols>
    <col min="2" max="2" width="12.140625" bestFit="1" customWidth="1"/>
    <col min="3" max="3" width="9.85546875" bestFit="1" customWidth="1"/>
  </cols>
  <sheetData>
    <row r="2" spans="2:4" x14ac:dyDescent="0.25">
      <c r="B2" s="22" t="s">
        <v>30</v>
      </c>
      <c r="C2" s="22" t="s">
        <v>31</v>
      </c>
      <c r="D2" s="22" t="s">
        <v>22</v>
      </c>
    </row>
    <row r="3" spans="2:4" x14ac:dyDescent="0.25">
      <c r="B3" s="4" t="s">
        <v>32</v>
      </c>
      <c r="C3" s="4" t="s">
        <v>33</v>
      </c>
      <c r="D3" s="21">
        <v>11206</v>
      </c>
    </row>
    <row r="4" spans="2:4" x14ac:dyDescent="0.25">
      <c r="B4" s="4" t="s">
        <v>32</v>
      </c>
      <c r="C4" s="4" t="s">
        <v>33</v>
      </c>
      <c r="D4" s="21">
        <v>5550</v>
      </c>
    </row>
    <row r="5" spans="2:4" x14ac:dyDescent="0.25">
      <c r="B5" s="4" t="s">
        <v>36</v>
      </c>
      <c r="C5" s="4" t="s">
        <v>33</v>
      </c>
      <c r="D5" s="21">
        <v>5260.0199999999995</v>
      </c>
    </row>
    <row r="6" spans="2:4" x14ac:dyDescent="0.25">
      <c r="B6" s="4" t="s">
        <v>41</v>
      </c>
      <c r="C6" s="4" t="s">
        <v>33</v>
      </c>
      <c r="D6" s="21">
        <v>4828.5</v>
      </c>
    </row>
    <row r="7" spans="2:4" x14ac:dyDescent="0.25">
      <c r="B7" s="4" t="s">
        <v>41</v>
      </c>
      <c r="C7" s="4" t="s">
        <v>33</v>
      </c>
      <c r="D7" s="21">
        <v>14876.960000000001</v>
      </c>
    </row>
    <row r="8" spans="2:4" x14ac:dyDescent="0.25">
      <c r="B8" s="4" t="s">
        <v>41</v>
      </c>
      <c r="C8" s="4" t="s">
        <v>33</v>
      </c>
      <c r="D8" s="21">
        <v>7681</v>
      </c>
    </row>
    <row r="9" spans="2:4" x14ac:dyDescent="0.25">
      <c r="B9" s="4" t="s">
        <v>34</v>
      </c>
      <c r="C9" s="4" t="s">
        <v>35</v>
      </c>
      <c r="D9" s="21">
        <v>6164</v>
      </c>
    </row>
    <row r="10" spans="2:4" x14ac:dyDescent="0.25">
      <c r="B10" s="4" t="s">
        <v>34</v>
      </c>
      <c r="C10" s="4" t="s">
        <v>35</v>
      </c>
      <c r="D10" s="21">
        <v>12995</v>
      </c>
    </row>
    <row r="11" spans="2:4" x14ac:dyDescent="0.25">
      <c r="B11" s="4" t="s">
        <v>37</v>
      </c>
      <c r="C11" s="4" t="s">
        <v>35</v>
      </c>
      <c r="D11" s="21">
        <v>7554.78</v>
      </c>
    </row>
    <row r="12" spans="2:4" x14ac:dyDescent="0.25">
      <c r="B12" s="4" t="s">
        <v>38</v>
      </c>
      <c r="C12" s="4" t="s">
        <v>39</v>
      </c>
      <c r="D12" s="21">
        <v>4412.8209999999999</v>
      </c>
    </row>
    <row r="13" spans="2:4" x14ac:dyDescent="0.25">
      <c r="B13" s="4" t="s">
        <v>38</v>
      </c>
      <c r="C13" s="4" t="s">
        <v>39</v>
      </c>
      <c r="D13" s="21">
        <v>5400</v>
      </c>
    </row>
    <row r="14" spans="2:4" x14ac:dyDescent="0.25">
      <c r="B14" s="4" t="s">
        <v>40</v>
      </c>
      <c r="C14" s="4" t="s">
        <v>39</v>
      </c>
      <c r="D14" s="21">
        <v>4549.3</v>
      </c>
    </row>
    <row r="15" spans="2:4" x14ac:dyDescent="0.25">
      <c r="B15" s="4" t="s">
        <v>42</v>
      </c>
      <c r="C15" s="4" t="s">
        <v>39</v>
      </c>
      <c r="D15" s="21">
        <v>4690</v>
      </c>
    </row>
    <row r="16" spans="2:4" x14ac:dyDescent="0.25">
      <c r="B16" s="4" t="s">
        <v>43</v>
      </c>
      <c r="C16" s="4" t="s">
        <v>44</v>
      </c>
      <c r="D16" s="21">
        <v>9737</v>
      </c>
    </row>
    <row r="17" spans="2:4" x14ac:dyDescent="0.25">
      <c r="B17" s="4" t="s">
        <v>45</v>
      </c>
      <c r="C17" s="4" t="s">
        <v>44</v>
      </c>
      <c r="D17" s="21">
        <v>13214</v>
      </c>
    </row>
  </sheetData>
  <conditionalFormatting sqref="C3:C17">
    <cfRule type="expression" dxfId="4" priority="2">
      <formula>C4=C3</formula>
    </cfRule>
  </conditionalFormatting>
  <conditionalFormatting sqref="B3:B17">
    <cfRule type="expression" dxfId="3" priority="1">
      <formula>B4=B3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ED73-4B8C-435D-AE36-877E3AB5F9D9}">
  <sheetPr codeName="Sheet7"/>
  <dimension ref="B2:C18"/>
  <sheetViews>
    <sheetView showGridLines="0" workbookViewId="0">
      <selection activeCell="E29" sqref="E29"/>
    </sheetView>
  </sheetViews>
  <sheetFormatPr defaultRowHeight="15" x14ac:dyDescent="0.25"/>
  <cols>
    <col min="2" max="2" width="13.42578125" bestFit="1" customWidth="1"/>
    <col min="3" max="3" width="17.7109375" customWidth="1"/>
  </cols>
  <sheetData>
    <row r="2" spans="2:3" ht="15.75" x14ac:dyDescent="0.25">
      <c r="B2" s="23" t="s">
        <v>46</v>
      </c>
      <c r="C2" s="23" t="s">
        <v>22</v>
      </c>
    </row>
    <row r="3" spans="2:3" x14ac:dyDescent="0.25">
      <c r="B3" s="4" t="s">
        <v>47</v>
      </c>
      <c r="C3" s="4">
        <v>261.95999999999998</v>
      </c>
    </row>
    <row r="4" spans="2:3" x14ac:dyDescent="0.25">
      <c r="B4" s="4" t="s">
        <v>48</v>
      </c>
      <c r="C4" s="4">
        <v>731.93999999999994</v>
      </c>
    </row>
    <row r="5" spans="2:3" x14ac:dyDescent="0.25">
      <c r="B5" s="4" t="s">
        <v>49</v>
      </c>
      <c r="C5" s="4">
        <v>14.62</v>
      </c>
    </row>
    <row r="6" spans="2:3" x14ac:dyDescent="0.25">
      <c r="B6" s="4" t="s">
        <v>50</v>
      </c>
      <c r="C6" s="4">
        <v>957.57749999999999</v>
      </c>
    </row>
    <row r="7" spans="2:3" x14ac:dyDescent="0.25">
      <c r="B7" s="4" t="s">
        <v>51</v>
      </c>
      <c r="C7" s="4">
        <v>22.368000000000002</v>
      </c>
    </row>
    <row r="8" spans="2:3" x14ac:dyDescent="0.25">
      <c r="B8" s="4" t="s">
        <v>52</v>
      </c>
      <c r="C8" s="4">
        <v>48.86</v>
      </c>
    </row>
    <row r="9" spans="2:3" x14ac:dyDescent="0.25">
      <c r="B9" s="4" t="s">
        <v>53</v>
      </c>
      <c r="C9" s="4">
        <v>7.28</v>
      </c>
    </row>
    <row r="10" spans="2:3" x14ac:dyDescent="0.25">
      <c r="B10" s="4" t="s">
        <v>54</v>
      </c>
      <c r="C10" s="4">
        <v>907.15200000000004</v>
      </c>
    </row>
    <row r="11" spans="2:3" x14ac:dyDescent="0.25">
      <c r="B11" s="4" t="s">
        <v>55</v>
      </c>
      <c r="C11" s="4">
        <v>18.504000000000001</v>
      </c>
    </row>
    <row r="12" spans="2:3" x14ac:dyDescent="0.25">
      <c r="B12" s="4" t="s">
        <v>56</v>
      </c>
      <c r="C12" s="4">
        <v>114.9</v>
      </c>
    </row>
    <row r="13" spans="2:3" x14ac:dyDescent="0.25">
      <c r="B13" s="4" t="s">
        <v>50</v>
      </c>
      <c r="C13" s="4">
        <v>1706.1840000000002</v>
      </c>
    </row>
    <row r="14" spans="2:3" x14ac:dyDescent="0.25">
      <c r="B14" s="4" t="s">
        <v>54</v>
      </c>
      <c r="C14" s="4">
        <v>911.42399999999998</v>
      </c>
    </row>
    <row r="15" spans="2:3" x14ac:dyDescent="0.25">
      <c r="B15" s="4" t="s">
        <v>57</v>
      </c>
      <c r="C15" s="4">
        <v>15.552000000000003</v>
      </c>
    </row>
    <row r="16" spans="2:3" x14ac:dyDescent="0.25">
      <c r="B16" s="4" t="s">
        <v>55</v>
      </c>
      <c r="C16" s="4">
        <v>407.97600000000006</v>
      </c>
    </row>
    <row r="17" spans="2:3" x14ac:dyDescent="0.25">
      <c r="B17" s="4" t="s">
        <v>56</v>
      </c>
      <c r="C17" s="4">
        <v>68.809999999999988</v>
      </c>
    </row>
    <row r="18" spans="2:3" x14ac:dyDescent="0.25">
      <c r="B18" s="4" t="s">
        <v>55</v>
      </c>
      <c r="C18" s="4">
        <v>2.5439999999999996</v>
      </c>
    </row>
  </sheetData>
  <conditionalFormatting sqref="C3:C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{D838DBFA-0F08-46DF-985A-CBA1327F9CDA}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38DBFA-0F08-46DF-985A-CBA1327F9CD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C3:C18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7F218-DE36-4560-9C26-8EB28A2CE75E}">
  <sheetPr codeName="Sheet8"/>
  <dimension ref="B2:E13"/>
  <sheetViews>
    <sheetView showGridLines="0" workbookViewId="0">
      <selection activeCell="J11" sqref="J11"/>
    </sheetView>
  </sheetViews>
  <sheetFormatPr defaultRowHeight="15" x14ac:dyDescent="0.25"/>
  <cols>
    <col min="2" max="2" width="14" bestFit="1" customWidth="1"/>
    <col min="3" max="3" width="10.42578125" customWidth="1"/>
    <col min="4" max="4" width="11.85546875" customWidth="1"/>
    <col min="5" max="5" width="11.140625" customWidth="1"/>
  </cols>
  <sheetData>
    <row r="2" spans="2:5" x14ac:dyDescent="0.25">
      <c r="B2" s="26" t="s">
        <v>58</v>
      </c>
      <c r="C2" s="27" t="s">
        <v>59</v>
      </c>
      <c r="D2" s="27" t="s">
        <v>60</v>
      </c>
      <c r="E2" s="27" t="s">
        <v>61</v>
      </c>
    </row>
    <row r="3" spans="2:5" x14ac:dyDescent="0.25">
      <c r="B3" s="4" t="s">
        <v>62</v>
      </c>
      <c r="C3" s="24">
        <v>187274</v>
      </c>
      <c r="D3" s="24">
        <v>175000</v>
      </c>
      <c r="E3" s="25">
        <f>(D3-C3)/D3</f>
        <v>-7.0137142857142856E-2</v>
      </c>
    </row>
    <row r="4" spans="2:5" x14ac:dyDescent="0.25">
      <c r="B4" s="4" t="s">
        <v>63</v>
      </c>
      <c r="C4" s="24">
        <v>61456</v>
      </c>
      <c r="D4" s="24">
        <v>60000</v>
      </c>
      <c r="E4" s="25">
        <f t="shared" ref="E4:E13" si="0">(D4-C4)/D4</f>
        <v>-2.4266666666666666E-2</v>
      </c>
    </row>
    <row r="5" spans="2:5" x14ac:dyDescent="0.25">
      <c r="B5" s="4" t="s">
        <v>64</v>
      </c>
      <c r="C5" s="24">
        <v>88133</v>
      </c>
      <c r="D5" s="24">
        <v>90000</v>
      </c>
      <c r="E5" s="25">
        <f t="shared" si="0"/>
        <v>2.0744444444444444E-2</v>
      </c>
    </row>
    <row r="6" spans="2:5" x14ac:dyDescent="0.25">
      <c r="B6" s="4" t="s">
        <v>65</v>
      </c>
      <c r="C6" s="24">
        <v>167209</v>
      </c>
      <c r="D6" s="24">
        <v>150000</v>
      </c>
      <c r="E6" s="25">
        <f t="shared" si="0"/>
        <v>-0.11472666666666667</v>
      </c>
    </row>
    <row r="7" spans="2:5" x14ac:dyDescent="0.25">
      <c r="B7" s="4" t="s">
        <v>66</v>
      </c>
      <c r="C7" s="24">
        <v>116801</v>
      </c>
      <c r="D7" s="24">
        <v>125000</v>
      </c>
      <c r="E7" s="25">
        <f t="shared" si="0"/>
        <v>6.5591999999999998E-2</v>
      </c>
    </row>
    <row r="8" spans="2:5" x14ac:dyDescent="0.25">
      <c r="B8" s="4" t="s">
        <v>67</v>
      </c>
      <c r="C8" s="24">
        <v>175202</v>
      </c>
      <c r="D8" s="24">
        <v>165000</v>
      </c>
      <c r="E8" s="25">
        <f t="shared" si="0"/>
        <v>-6.1830303030303027E-2</v>
      </c>
    </row>
    <row r="9" spans="2:5" x14ac:dyDescent="0.25">
      <c r="B9" s="4" t="s">
        <v>22</v>
      </c>
      <c r="C9" s="24">
        <v>169975</v>
      </c>
      <c r="D9" s="24">
        <v>125000</v>
      </c>
      <c r="E9" s="25">
        <f t="shared" si="0"/>
        <v>-0.35980000000000001</v>
      </c>
    </row>
    <row r="10" spans="2:5" x14ac:dyDescent="0.25">
      <c r="B10" s="4" t="s">
        <v>68</v>
      </c>
      <c r="C10" s="24">
        <v>212012</v>
      </c>
      <c r="D10" s="24">
        <v>185000</v>
      </c>
      <c r="E10" s="25">
        <f t="shared" si="0"/>
        <v>-0.1460108108108108</v>
      </c>
    </row>
    <row r="11" spans="2:5" x14ac:dyDescent="0.25">
      <c r="B11" s="4" t="s">
        <v>69</v>
      </c>
      <c r="C11" s="24">
        <v>172371</v>
      </c>
      <c r="D11" s="24">
        <v>200000</v>
      </c>
      <c r="E11" s="25">
        <f t="shared" si="0"/>
        <v>0.13814499999999999</v>
      </c>
    </row>
    <row r="12" spans="2:5" x14ac:dyDescent="0.25">
      <c r="B12" s="4" t="s">
        <v>70</v>
      </c>
      <c r="C12" s="24">
        <v>92749</v>
      </c>
      <c r="D12" s="24">
        <v>100000</v>
      </c>
      <c r="E12" s="25">
        <f t="shared" si="0"/>
        <v>7.2510000000000005E-2</v>
      </c>
    </row>
    <row r="13" spans="2:5" x14ac:dyDescent="0.25">
      <c r="B13" s="4" t="s">
        <v>71</v>
      </c>
      <c r="C13" s="24">
        <v>57845</v>
      </c>
      <c r="D13" s="24">
        <v>75000</v>
      </c>
      <c r="E13" s="25">
        <f t="shared" si="0"/>
        <v>0.22873333333333334</v>
      </c>
    </row>
  </sheetData>
  <conditionalFormatting sqref="E3:E13">
    <cfRule type="cellIs" dxfId="2" priority="1" operator="lessThan">
      <formula>-0.1</formula>
    </cfRule>
    <cfRule type="cellIs" dxfId="1" priority="2" operator="greaterThan">
      <formula>0.1</formula>
    </cfRule>
    <cfRule type="expression" dxfId="0" priority="5">
      <formula>"&gt;10%"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3756-661F-49B4-972C-A984D0A9781C}">
  <sheetPr codeName="Sheet10"/>
  <dimension ref="A1"/>
  <sheetViews>
    <sheetView showGridLines="0" workbookViewId="0">
      <selection activeCell="O11" sqref="O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0474-725F-4499-B304-570D09533199}">
  <sheetPr codeName="Sheet11"/>
  <dimension ref="A1:G25"/>
  <sheetViews>
    <sheetView showGridLines="0" workbookViewId="0">
      <selection activeCell="G6" sqref="A2:G6"/>
    </sheetView>
  </sheetViews>
  <sheetFormatPr defaultRowHeight="15" x14ac:dyDescent="0.25"/>
  <cols>
    <col min="1" max="2" width="15.7109375" customWidth="1"/>
    <col min="3" max="3" width="35.7109375" customWidth="1"/>
    <col min="4" max="7" width="15.7109375" customWidth="1"/>
  </cols>
  <sheetData>
    <row r="1" spans="1:7" x14ac:dyDescent="0.25">
      <c r="A1" s="29" t="s">
        <v>72</v>
      </c>
      <c r="B1" s="29" t="s">
        <v>73</v>
      </c>
      <c r="C1" s="29" t="s">
        <v>74</v>
      </c>
      <c r="D1" s="29" t="s">
        <v>58</v>
      </c>
      <c r="E1" s="29" t="s">
        <v>75</v>
      </c>
      <c r="F1" s="29" t="s">
        <v>76</v>
      </c>
      <c r="G1" s="29" t="s">
        <v>77</v>
      </c>
    </row>
    <row r="2" spans="1:7" x14ac:dyDescent="0.25">
      <c r="A2" s="4" t="s">
        <v>89</v>
      </c>
      <c r="B2" s="4" t="s">
        <v>78</v>
      </c>
      <c r="C2" s="4" t="s">
        <v>90</v>
      </c>
      <c r="D2" s="4" t="s">
        <v>91</v>
      </c>
      <c r="E2" s="4" t="s">
        <v>86</v>
      </c>
      <c r="F2" s="4" t="s">
        <v>92</v>
      </c>
      <c r="G2" s="4" t="s">
        <v>79</v>
      </c>
    </row>
    <row r="3" spans="1:7" x14ac:dyDescent="0.25">
      <c r="A3" s="4" t="s">
        <v>98</v>
      </c>
      <c r="B3" s="4" t="s">
        <v>99</v>
      </c>
      <c r="C3" s="18" t="s">
        <v>100</v>
      </c>
      <c r="D3" s="4" t="s">
        <v>64</v>
      </c>
      <c r="E3" s="4" t="s">
        <v>101</v>
      </c>
      <c r="F3" s="4" t="s">
        <v>102</v>
      </c>
      <c r="G3" s="4" t="s">
        <v>77</v>
      </c>
    </row>
    <row r="4" spans="1:7" x14ac:dyDescent="0.25">
      <c r="A4" s="4"/>
      <c r="B4" s="4"/>
      <c r="C4" s="4"/>
      <c r="D4" s="4"/>
      <c r="E4" s="4"/>
      <c r="F4" s="4"/>
      <c r="G4" s="4"/>
    </row>
    <row r="5" spans="1:7" x14ac:dyDescent="0.25">
      <c r="A5" s="4"/>
      <c r="B5" s="4"/>
      <c r="C5" s="4"/>
      <c r="D5" s="4"/>
      <c r="E5" s="4"/>
      <c r="F5" s="4"/>
      <c r="G5" s="4"/>
    </row>
    <row r="6" spans="1:7" x14ac:dyDescent="0.25">
      <c r="A6" s="4"/>
      <c r="B6" s="4"/>
      <c r="C6" s="4"/>
      <c r="D6" s="4"/>
      <c r="E6" s="4"/>
      <c r="F6" s="4"/>
      <c r="G6" s="4"/>
    </row>
    <row r="7" spans="1:7" x14ac:dyDescent="0.25">
      <c r="A7" s="4"/>
      <c r="B7" s="4"/>
      <c r="C7" s="4"/>
      <c r="D7" s="4"/>
      <c r="E7" s="4"/>
      <c r="F7" s="4"/>
      <c r="G7" s="4"/>
    </row>
    <row r="8" spans="1:7" x14ac:dyDescent="0.25">
      <c r="A8" s="4"/>
      <c r="B8" s="4"/>
      <c r="C8" s="4"/>
      <c r="D8" s="4"/>
      <c r="E8" s="4"/>
      <c r="F8" s="4"/>
      <c r="G8" s="4"/>
    </row>
    <row r="9" spans="1:7" x14ac:dyDescent="0.25">
      <c r="A9" s="4"/>
      <c r="B9" s="4"/>
      <c r="C9" s="4"/>
      <c r="D9" s="4"/>
      <c r="E9" s="4"/>
      <c r="F9" s="4"/>
      <c r="G9" s="4"/>
    </row>
    <row r="10" spans="1:7" x14ac:dyDescent="0.25">
      <c r="A10" s="4"/>
      <c r="B10" s="4"/>
      <c r="C10" s="4"/>
      <c r="D10" s="4"/>
      <c r="E10" s="4"/>
      <c r="F10" s="4"/>
      <c r="G10" s="4"/>
    </row>
    <row r="11" spans="1:7" x14ac:dyDescent="0.25">
      <c r="A11" s="4"/>
      <c r="B11" s="4"/>
      <c r="C11" s="4"/>
      <c r="D11" s="4"/>
      <c r="E11" s="4"/>
      <c r="F11" s="4"/>
      <c r="G11" s="4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x14ac:dyDescent="0.25">
      <c r="A13" s="4"/>
      <c r="B13" s="4"/>
      <c r="C13" s="4"/>
      <c r="D13" s="4"/>
      <c r="E13" s="4"/>
      <c r="F13" s="4"/>
      <c r="G13" s="4"/>
    </row>
    <row r="14" spans="1:7" x14ac:dyDescent="0.25">
      <c r="A14" s="4"/>
      <c r="B14" s="4"/>
      <c r="C14" s="4"/>
      <c r="D14" s="4"/>
      <c r="E14" s="4"/>
      <c r="F14" s="4"/>
      <c r="G14" s="4"/>
    </row>
    <row r="15" spans="1:7" x14ac:dyDescent="0.25">
      <c r="A15" s="4"/>
      <c r="B15" s="4"/>
      <c r="C15" s="4"/>
      <c r="D15" s="4"/>
      <c r="E15" s="4"/>
      <c r="F15" s="4"/>
      <c r="G15" s="4"/>
    </row>
    <row r="16" spans="1:7" x14ac:dyDescent="0.25">
      <c r="A16" s="4"/>
      <c r="B16" s="4"/>
      <c r="C16" s="4"/>
      <c r="D16" s="4"/>
      <c r="E16" s="4"/>
      <c r="F16" s="4"/>
      <c r="G16" s="4"/>
    </row>
    <row r="17" spans="1:7" x14ac:dyDescent="0.25">
      <c r="A17" s="4"/>
      <c r="B17" s="4"/>
      <c r="C17" s="4"/>
      <c r="D17" s="4"/>
      <c r="E17" s="4"/>
      <c r="F17" s="4"/>
      <c r="G17" s="4"/>
    </row>
    <row r="18" spans="1:7" x14ac:dyDescent="0.25">
      <c r="A18" s="4"/>
      <c r="B18" s="4"/>
      <c r="C18" s="4"/>
      <c r="D18" s="4"/>
      <c r="E18" s="4"/>
      <c r="F18" s="4"/>
      <c r="G18" s="4"/>
    </row>
    <row r="19" spans="1:7" x14ac:dyDescent="0.25">
      <c r="A19" s="4"/>
      <c r="B19" s="4"/>
      <c r="C19" s="4"/>
      <c r="D19" s="4"/>
      <c r="E19" s="4"/>
      <c r="F19" s="4"/>
      <c r="G19" s="4"/>
    </row>
    <row r="20" spans="1:7" x14ac:dyDescent="0.25">
      <c r="A20" s="4"/>
      <c r="B20" s="4"/>
      <c r="C20" s="4"/>
      <c r="D20" s="4"/>
      <c r="E20" s="4"/>
      <c r="F20" s="4"/>
      <c r="G20" s="4"/>
    </row>
    <row r="21" spans="1:7" x14ac:dyDescent="0.25">
      <c r="A21" s="4"/>
      <c r="B21" s="4"/>
      <c r="C21" s="4"/>
      <c r="D21" s="4"/>
      <c r="E21" s="4"/>
      <c r="F21" s="4"/>
      <c r="G21" s="4"/>
    </row>
    <row r="22" spans="1:7" x14ac:dyDescent="0.25">
      <c r="A22" s="4"/>
      <c r="B22" s="4"/>
      <c r="C22" s="4"/>
      <c r="D22" s="4"/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x14ac:dyDescent="0.25">
      <c r="A25" s="4"/>
      <c r="B25" s="4"/>
      <c r="C25" s="4"/>
      <c r="D25" s="4"/>
      <c r="E25" s="4"/>
      <c r="F25" s="4"/>
      <c r="G25" s="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F5BD6-C871-4038-AFC0-68E372DB53A0}">
  <sheetPr codeName="Sheet9"/>
  <dimension ref="H6"/>
  <sheetViews>
    <sheetView tabSelected="1" workbookViewId="0">
      <selection activeCell="N19" sqref="N19"/>
    </sheetView>
  </sheetViews>
  <sheetFormatPr defaultRowHeight="15" x14ac:dyDescent="0.25"/>
  <sheetData>
    <row r="6" spans="8:8" x14ac:dyDescent="0.25">
      <c r="H6" s="30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52D4F-0CA3-49BD-986B-78CB3E2A45E9}">
  <sheetPr codeName="Sheet12"/>
  <dimension ref="A1:F18"/>
  <sheetViews>
    <sheetView workbookViewId="0">
      <selection activeCell="F5" sqref="A2:F5"/>
    </sheetView>
  </sheetViews>
  <sheetFormatPr defaultRowHeight="15" x14ac:dyDescent="0.25"/>
  <cols>
    <col min="1" max="1" width="6.28515625" bestFit="1" customWidth="1"/>
    <col min="2" max="2" width="14.5703125" bestFit="1" customWidth="1"/>
    <col min="3" max="3" width="14.85546875" bestFit="1" customWidth="1"/>
    <col min="4" max="4" width="17.5703125" bestFit="1" customWidth="1"/>
    <col min="5" max="5" width="9.7109375" customWidth="1"/>
    <col min="6" max="6" width="17.5703125" bestFit="1" customWidth="1"/>
  </cols>
  <sheetData>
    <row r="1" spans="1:6" x14ac:dyDescent="0.25">
      <c r="A1" s="31" t="s">
        <v>2</v>
      </c>
      <c r="B1" s="31" t="s">
        <v>80</v>
      </c>
      <c r="C1" s="31" t="s">
        <v>81</v>
      </c>
      <c r="D1" s="31" t="s">
        <v>82</v>
      </c>
      <c r="E1" s="31" t="s">
        <v>83</v>
      </c>
      <c r="F1" s="31" t="s">
        <v>84</v>
      </c>
    </row>
    <row r="2" spans="1:6" x14ac:dyDescent="0.25">
      <c r="A2" s="4" t="s">
        <v>93</v>
      </c>
      <c r="B2" s="4">
        <v>1234567068</v>
      </c>
      <c r="C2" s="18">
        <v>44124</v>
      </c>
      <c r="D2" s="4" t="s">
        <v>94</v>
      </c>
      <c r="E2" s="4" t="s">
        <v>95</v>
      </c>
      <c r="F2" s="4" t="s">
        <v>85</v>
      </c>
    </row>
    <row r="3" spans="1:6" x14ac:dyDescent="0.25">
      <c r="A3" s="4" t="s">
        <v>87</v>
      </c>
      <c r="B3" s="4">
        <v>233445692</v>
      </c>
      <c r="C3" s="18">
        <v>29240</v>
      </c>
      <c r="D3" s="4" t="s">
        <v>96</v>
      </c>
      <c r="E3" s="4" t="s">
        <v>97</v>
      </c>
      <c r="F3" s="4" t="s">
        <v>88</v>
      </c>
    </row>
    <row r="4" spans="1:6" x14ac:dyDescent="0.25">
      <c r="A4" s="4" t="s">
        <v>103</v>
      </c>
      <c r="B4" s="4">
        <v>54249542</v>
      </c>
      <c r="C4" s="18">
        <v>44125</v>
      </c>
      <c r="D4" s="4" t="s">
        <v>104</v>
      </c>
      <c r="E4" s="4" t="s">
        <v>105</v>
      </c>
      <c r="F4" s="4" t="s">
        <v>88</v>
      </c>
    </row>
    <row r="5" spans="1:6" x14ac:dyDescent="0.25">
      <c r="A5" s="4"/>
      <c r="B5" s="4"/>
      <c r="C5" s="18"/>
      <c r="D5" s="4"/>
      <c r="E5" s="4"/>
      <c r="F5" s="4"/>
    </row>
    <row r="6" spans="1:6" x14ac:dyDescent="0.25">
      <c r="A6" s="4"/>
      <c r="B6" s="4"/>
      <c r="C6" s="4"/>
      <c r="D6" s="4"/>
      <c r="E6" s="4"/>
      <c r="F6" s="4"/>
    </row>
    <row r="7" spans="1:6" x14ac:dyDescent="0.25">
      <c r="A7" s="4"/>
      <c r="B7" s="4"/>
      <c r="C7" s="4"/>
      <c r="D7" s="4"/>
      <c r="E7" s="4"/>
      <c r="F7" s="4"/>
    </row>
    <row r="8" spans="1:6" x14ac:dyDescent="0.25">
      <c r="A8" s="4"/>
      <c r="B8" s="4"/>
      <c r="C8" s="4"/>
      <c r="D8" s="4"/>
      <c r="E8" s="4"/>
      <c r="F8" s="4"/>
    </row>
    <row r="9" spans="1:6" x14ac:dyDescent="0.25">
      <c r="A9" s="4"/>
      <c r="B9" s="4"/>
      <c r="C9" s="4"/>
      <c r="D9" s="4"/>
      <c r="E9" s="4"/>
      <c r="F9" s="4"/>
    </row>
    <row r="10" spans="1:6" x14ac:dyDescent="0.25">
      <c r="A10" s="4"/>
      <c r="B10" s="4"/>
      <c r="C10" s="4"/>
      <c r="D10" s="4"/>
      <c r="E10" s="4"/>
      <c r="F10" s="4"/>
    </row>
    <row r="11" spans="1:6" x14ac:dyDescent="0.25">
      <c r="A11" s="4"/>
      <c r="B11" s="4"/>
      <c r="C11" s="4"/>
      <c r="D11" s="4"/>
      <c r="E11" s="4"/>
      <c r="F11" s="4"/>
    </row>
    <row r="12" spans="1:6" x14ac:dyDescent="0.25">
      <c r="A12" s="4"/>
      <c r="B12" s="4"/>
      <c r="C12" s="4"/>
      <c r="D12" s="4"/>
      <c r="E12" s="4"/>
      <c r="F12" s="4"/>
    </row>
    <row r="13" spans="1:6" x14ac:dyDescent="0.25">
      <c r="A13" s="4"/>
      <c r="B13" s="4"/>
      <c r="C13" s="4"/>
      <c r="D13" s="4"/>
      <c r="E13" s="4"/>
      <c r="F13" s="4"/>
    </row>
    <row r="14" spans="1:6" x14ac:dyDescent="0.25">
      <c r="A14" s="4"/>
      <c r="B14" s="4"/>
      <c r="C14" s="4"/>
      <c r="D14" s="4"/>
      <c r="E14" s="4"/>
      <c r="F14" s="4"/>
    </row>
    <row r="15" spans="1:6" x14ac:dyDescent="0.25">
      <c r="A15" s="4"/>
      <c r="B15" s="4"/>
      <c r="C15" s="4"/>
      <c r="D15" s="4"/>
      <c r="E15" s="4"/>
      <c r="F15" s="4"/>
    </row>
    <row r="16" spans="1:6" x14ac:dyDescent="0.25">
      <c r="A16" s="4"/>
      <c r="B16" s="4"/>
      <c r="C16" s="4"/>
      <c r="D16" s="4"/>
      <c r="E16" s="4"/>
      <c r="F16" s="4"/>
    </row>
    <row r="17" spans="1:6" x14ac:dyDescent="0.25">
      <c r="A17" s="4"/>
      <c r="B17" s="4"/>
      <c r="C17" s="4"/>
      <c r="D17" s="4"/>
      <c r="E17" s="4"/>
      <c r="F17" s="4"/>
    </row>
    <row r="18" spans="1:6" x14ac:dyDescent="0.25">
      <c r="A18" s="4"/>
      <c r="B18" s="4"/>
      <c r="C18" s="4"/>
      <c r="D18" s="4"/>
      <c r="E18" s="4"/>
      <c r="F1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Weekday</vt:lpstr>
      <vt:lpstr>count &gt;100</vt:lpstr>
      <vt:lpstr>Duplicate</vt:lpstr>
      <vt:lpstr>AverageIf</vt:lpstr>
      <vt:lpstr>Large</vt:lpstr>
      <vt:lpstr>Hide Dup</vt:lpstr>
      <vt:lpstr>Data Bar</vt:lpstr>
      <vt:lpstr>Highlight</vt:lpstr>
      <vt:lpstr>Userform1</vt:lpstr>
      <vt:lpstr>Database</vt:lpstr>
      <vt:lpstr>Userform2</vt:lpstr>
      <vt:lpstr>Carabase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nipun marak</dc:creator>
  <cp:lastModifiedBy>James Luu</cp:lastModifiedBy>
  <dcterms:created xsi:type="dcterms:W3CDTF">2015-06-05T18:17:20Z</dcterms:created>
  <dcterms:modified xsi:type="dcterms:W3CDTF">2020-10-22T03:00:05Z</dcterms:modified>
</cp:coreProperties>
</file>